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ELEC391_25W2_Robo_Maestro\software\documentation\"/>
    </mc:Choice>
  </mc:AlternateContent>
  <xr:revisionPtr revIDLastSave="0" documentId="13_ncr:1_{F2A44CA8-A2CF-41E4-8B5E-47D129E32865}" xr6:coauthVersionLast="47" xr6:coauthVersionMax="47" xr10:uidLastSave="{00000000-0000-0000-0000-000000000000}"/>
  <bookViews>
    <workbookView xWindow="-110" yWindow="-110" windowWidth="19420" windowHeight="12220" xr2:uid="{E4B89308-9BF8-43F2-8624-A241DAFF81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I13" i="1"/>
  <c r="I21" i="1"/>
  <c r="J19" i="1"/>
  <c r="I19" i="1"/>
  <c r="H19" i="1"/>
  <c r="G19" i="1"/>
  <c r="J17" i="1"/>
  <c r="J16" i="1"/>
  <c r="J15" i="1"/>
  <c r="J14" i="1"/>
  <c r="J13" i="1"/>
  <c r="I17" i="1"/>
  <c r="I16" i="1"/>
  <c r="I15" i="1"/>
  <c r="I14" i="1"/>
  <c r="G13" i="1"/>
  <c r="H13" i="1" s="1"/>
  <c r="F17" i="1"/>
  <c r="G17" i="1" s="1"/>
  <c r="H17" i="1" s="1"/>
  <c r="F16" i="1"/>
  <c r="G16" i="1" s="1"/>
  <c r="H16" i="1" s="1"/>
  <c r="F15" i="1"/>
  <c r="G15" i="1" s="1"/>
  <c r="H15" i="1" s="1"/>
  <c r="F14" i="1"/>
  <c r="G14" i="1" s="1"/>
  <c r="H14" i="1" s="1"/>
  <c r="F13" i="1"/>
</calcChain>
</file>

<file path=xl/sharedStrings.xml><?xml version="1.0" encoding="utf-8"?>
<sst xmlns="http://schemas.openxmlformats.org/spreadsheetml/2006/main" count="27" uniqueCount="27">
  <si>
    <t>wout (deg/s)</t>
  </si>
  <si>
    <t>wmotor (rad/s)</t>
  </si>
  <si>
    <t>Kb</t>
  </si>
  <si>
    <t>Va (V)</t>
  </si>
  <si>
    <t>iw (A)</t>
  </si>
  <si>
    <t>Kb V/(rad/s)</t>
  </si>
  <si>
    <t>Kt (Nm/A)</t>
  </si>
  <si>
    <t>Bm</t>
  </si>
  <si>
    <t>Bmotor (Nms/rad)</t>
  </si>
  <si>
    <t>Jmotor (kgm^2)</t>
  </si>
  <si>
    <t>R (ohms)</t>
  </si>
  <si>
    <t>L (mH)</t>
  </si>
  <si>
    <t>n (1:324)</t>
  </si>
  <si>
    <t>tau (s)</t>
  </si>
  <si>
    <t>avg:</t>
  </si>
  <si>
    <t>reflect to output shaft:</t>
  </si>
  <si>
    <t>Motor Paramters:</t>
  </si>
  <si>
    <t>n</t>
  </si>
  <si>
    <t>Kt</t>
  </si>
  <si>
    <t>Jm</t>
  </si>
  <si>
    <t>Rw</t>
  </si>
  <si>
    <t>Lw</t>
  </si>
  <si>
    <t>Kb = (Va-iw*R)/wmotor</t>
  </si>
  <si>
    <t>Kt = 0.75</t>
  </si>
  <si>
    <t>Bm = (Kt(Va-Kb*wmotor))/(R*wmotor)</t>
  </si>
  <si>
    <t>Jm = tau*Bm</t>
  </si>
  <si>
    <t>Equations: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</si>
</sst>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11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3F40-A1BA-47AE-BCA6-0387868067DB}">
  <dimension ref="C2:J31"/>
  <sheetViews>
    <sheetView tabSelected="1" topLeftCell="A5" zoomScale="94" workbookViewId="0">
      <selection activeCell="F11" sqref="F11"/>
    </sheetView>
  </sheetViews>
  <sheetFormatPr defaultRowHeight="14.5" x14ac:dyDescent="0.35"/>
  <cols>
    <col min="5" max="5" width="11.36328125" customWidth="1"/>
    <col min="6" max="6" width="13.1796875" customWidth="1"/>
    <col min="7" max="8" width="19.08984375" customWidth="1"/>
    <col min="9" max="9" width="32" customWidth="1"/>
    <col min="10" max="10" width="14.6328125" customWidth="1"/>
  </cols>
  <sheetData>
    <row r="2" spans="3:10" x14ac:dyDescent="0.35">
      <c r="C2" t="s">
        <v>10</v>
      </c>
      <c r="D2" s="1">
        <v>8.1999999999999993</v>
      </c>
    </row>
    <row r="3" spans="3:10" x14ac:dyDescent="0.35">
      <c r="C3" t="s">
        <v>11</v>
      </c>
      <c r="D3" s="1">
        <v>8.6</v>
      </c>
    </row>
    <row r="4" spans="3:10" x14ac:dyDescent="0.35">
      <c r="C4" t="s">
        <v>12</v>
      </c>
      <c r="D4">
        <v>324</v>
      </c>
    </row>
    <row r="5" spans="3:10" x14ac:dyDescent="0.35">
      <c r="C5" t="s">
        <v>13</v>
      </c>
      <c r="D5">
        <v>7.4999999999999997E-3</v>
      </c>
    </row>
    <row r="10" spans="3:10" x14ac:dyDescent="0.35">
      <c r="F10" t="s">
        <v>26</v>
      </c>
      <c r="G10" t="s">
        <v>22</v>
      </c>
      <c r="H10" t="s">
        <v>23</v>
      </c>
      <c r="I10" t="s">
        <v>24</v>
      </c>
      <c r="J10" t="s">
        <v>25</v>
      </c>
    </row>
    <row r="12" spans="3:10" x14ac:dyDescent="0.35">
      <c r="C12" s="2" t="s">
        <v>3</v>
      </c>
      <c r="D12" s="2" t="s">
        <v>4</v>
      </c>
      <c r="E12" s="2" t="s">
        <v>0</v>
      </c>
      <c r="F12" s="2" t="s">
        <v>1</v>
      </c>
      <c r="G12" s="2" t="s">
        <v>5</v>
      </c>
      <c r="H12" s="2" t="s">
        <v>6</v>
      </c>
      <c r="I12" s="2" t="s">
        <v>8</v>
      </c>
      <c r="J12" s="2" t="s">
        <v>9</v>
      </c>
    </row>
    <row r="13" spans="3:10" x14ac:dyDescent="0.35">
      <c r="C13">
        <v>6</v>
      </c>
      <c r="D13">
        <v>0.04</v>
      </c>
      <c r="E13">
        <v>270</v>
      </c>
      <c r="F13">
        <f>E13*324*PI()/180</f>
        <v>1526.8140296446395</v>
      </c>
      <c r="G13">
        <f>(C13-D13*$D$2)/F13</f>
        <v>3.7149252560379846E-3</v>
      </c>
      <c r="H13">
        <f>0.75*G13</f>
        <v>2.7861939420284884E-3</v>
      </c>
      <c r="I13">
        <f>(H13*(C13-G13*F13)/($D$2*F13))</f>
        <v>7.2993668853749467E-8</v>
      </c>
      <c r="J13">
        <f>I13*$D$5</f>
        <v>5.4745251640312098E-10</v>
      </c>
    </row>
    <row r="14" spans="3:10" x14ac:dyDescent="0.35">
      <c r="C14">
        <v>8</v>
      </c>
      <c r="D14">
        <v>4.2000000000000003E-2</v>
      </c>
      <c r="E14">
        <v>360</v>
      </c>
      <c r="F14">
        <f t="shared" ref="F14:F17" si="0">E14*324*PI()/180</f>
        <v>2035.7520395261859</v>
      </c>
      <c r="G14">
        <f>(C14-D14*$D$2)/F14</f>
        <v>3.7605758714022038E-3</v>
      </c>
      <c r="H14">
        <f t="shared" ref="H14:H17" si="1">0.75*G14</f>
        <v>2.8204319035516527E-3</v>
      </c>
      <c r="I14">
        <f t="shared" ref="I14:I17" si="2">(H14*(C14-G14*F14)/($D$2*F14))</f>
        <v>5.8188884328339043E-8</v>
      </c>
      <c r="J14">
        <f t="shared" ref="J14:J17" si="3">I14*$D$5</f>
        <v>4.364166324625428E-10</v>
      </c>
    </row>
    <row r="15" spans="3:10" x14ac:dyDescent="0.35">
      <c r="C15">
        <v>10</v>
      </c>
      <c r="D15">
        <v>4.3999999999999997E-2</v>
      </c>
      <c r="E15">
        <v>460</v>
      </c>
      <c r="F15">
        <f t="shared" si="0"/>
        <v>2601.238717172349</v>
      </c>
      <c r="G15">
        <f>(C15-D15*$D$2)/F15</f>
        <v>3.7056191484333275E-3</v>
      </c>
      <c r="H15">
        <f t="shared" si="1"/>
        <v>2.7792143613249954E-3</v>
      </c>
      <c r="I15">
        <f t="shared" si="2"/>
        <v>4.7010461243337465E-8</v>
      </c>
      <c r="J15">
        <f t="shared" si="3"/>
        <v>3.5257845932503096E-10</v>
      </c>
    </row>
    <row r="16" spans="3:10" x14ac:dyDescent="0.35">
      <c r="C16">
        <v>12</v>
      </c>
      <c r="D16">
        <v>4.4999999999999998E-2</v>
      </c>
      <c r="E16">
        <v>540</v>
      </c>
      <c r="F16">
        <f t="shared" si="0"/>
        <v>3053.628059289279</v>
      </c>
      <c r="G16">
        <f>(C16-D16*$D$2)/F16</f>
        <v>3.8089118170819645E-3</v>
      </c>
      <c r="H16">
        <f t="shared" si="1"/>
        <v>2.8566838628114734E-3</v>
      </c>
      <c r="I16">
        <f t="shared" si="2"/>
        <v>4.2097718297897729E-8</v>
      </c>
      <c r="J16">
        <f t="shared" si="3"/>
        <v>3.1573288723423296E-10</v>
      </c>
    </row>
    <row r="17" spans="3:10" x14ac:dyDescent="0.35">
      <c r="C17">
        <v>14</v>
      </c>
      <c r="D17">
        <v>4.5999999999999999E-2</v>
      </c>
      <c r="E17">
        <v>640</v>
      </c>
      <c r="F17">
        <f t="shared" si="0"/>
        <v>3619.1147369354412</v>
      </c>
      <c r="G17">
        <f>(C17-D17*$D$2)/F17</f>
        <v>3.7641249283893612E-3</v>
      </c>
      <c r="H17">
        <f t="shared" si="1"/>
        <v>2.823093696292021E-3</v>
      </c>
      <c r="I17">
        <f t="shared" si="2"/>
        <v>3.5882341254368907E-8</v>
      </c>
      <c r="J17">
        <f t="shared" si="3"/>
        <v>2.6911755940776679E-10</v>
      </c>
    </row>
    <row r="19" spans="3:10" x14ac:dyDescent="0.35">
      <c r="F19" s="1" t="s">
        <v>14</v>
      </c>
      <c r="G19" s="1">
        <f>AVERAGE(G13:G17)</f>
        <v>3.7508314042689686E-3</v>
      </c>
      <c r="H19" s="1">
        <f t="shared" ref="H19:J19" si="4">AVERAGE(H13:H17)</f>
        <v>2.8131235532017265E-3</v>
      </c>
      <c r="I19">
        <f t="shared" si="4"/>
        <v>5.1234614795538517E-8</v>
      </c>
      <c r="J19">
        <f t="shared" si="4"/>
        <v>3.8425961096653893E-10</v>
      </c>
    </row>
    <row r="21" spans="3:10" x14ac:dyDescent="0.35">
      <c r="H21" s="1" t="s">
        <v>15</v>
      </c>
      <c r="I21" s="1">
        <f>324^2*I19</f>
        <v>5.3784049227764514E-3</v>
      </c>
      <c r="J21" s="1">
        <f>324^2*J19</f>
        <v>4.0338036920823392E-5</v>
      </c>
    </row>
    <row r="24" spans="3:10" x14ac:dyDescent="0.35">
      <c r="C24" s="4" t="s">
        <v>16</v>
      </c>
      <c r="D24" s="4"/>
    </row>
    <row r="25" spans="3:10" x14ac:dyDescent="0.35">
      <c r="C25" t="s">
        <v>20</v>
      </c>
      <c r="D25">
        <v>8.1999999999999993</v>
      </c>
    </row>
    <row r="26" spans="3:10" x14ac:dyDescent="0.35">
      <c r="C26" t="s">
        <v>21</v>
      </c>
      <c r="D26">
        <v>8.6E-3</v>
      </c>
    </row>
    <row r="27" spans="3:10" x14ac:dyDescent="0.35">
      <c r="C27" t="s">
        <v>17</v>
      </c>
      <c r="D27">
        <v>324</v>
      </c>
    </row>
    <row r="28" spans="3:10" x14ac:dyDescent="0.35">
      <c r="C28" t="s">
        <v>2</v>
      </c>
      <c r="D28">
        <v>3.7499999999999999E-3</v>
      </c>
    </row>
    <row r="29" spans="3:10" x14ac:dyDescent="0.35">
      <c r="C29" t="s">
        <v>18</v>
      </c>
      <c r="D29">
        <v>2.81E-3</v>
      </c>
    </row>
    <row r="30" spans="3:10" x14ac:dyDescent="0.35">
      <c r="C30" t="s">
        <v>7</v>
      </c>
      <c r="D30">
        <v>5.3800000000000002E-3</v>
      </c>
    </row>
    <row r="31" spans="3:10" x14ac:dyDescent="0.35">
      <c r="C31" t="s">
        <v>19</v>
      </c>
      <c r="D31" s="3">
        <v>4.0299999999999997E-5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soon</dc:creator>
  <cp:lastModifiedBy>Ethan soon</cp:lastModifiedBy>
  <dcterms:created xsi:type="dcterms:W3CDTF">2026-02-12T00:47:29Z</dcterms:created>
  <dcterms:modified xsi:type="dcterms:W3CDTF">2026-02-24T01:06:50Z</dcterms:modified>
</cp:coreProperties>
</file>